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do y Costos Reales" sheetId="1" state="visible" r:id="rId3"/>
    <sheet name="Ganancia del Primer Dro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<sst xmlns="http://schemas.openxmlformats.org/spreadsheetml/2006/main" count="95" uniqueCount="88">
  <si>
    <t xml:space="preserve">FITFUEL — Segundo pedido: costo real por producto</t>
  </si>
  <si>
    <t xml:space="preserve">MG Suplementos, sep 2026 · 27 unidades, 13 líneas</t>
  </si>
  <si>
    <t xml:space="preserve">Supuestos del pedido</t>
  </si>
  <si>
    <t xml:space="preserve">Subtotal MXN (ya con descuento Mayoreo Plus)</t>
  </si>
  <si>
    <t xml:space="preserve">Cobro real del banco en Quetzales (input)</t>
  </si>
  <si>
    <t xml:space="preserve">Tipo de cambio efectivo (incl. margen del banco)</t>
  </si>
  <si>
    <t xml:space="preserve">Flete a la frontera (para quien recibe en MX)</t>
  </si>
  <si>
    <t xml:space="preserve">Flete de la frontera a Huehuetenango</t>
  </si>
  <si>
    <t xml:space="preserve">Flete total</t>
  </si>
  <si>
    <t xml:space="preserve">Costo total del pedido puesto en Huehuetenango</t>
  </si>
  <si>
    <t xml:space="preserve">Producto</t>
  </si>
  <si>
    <t xml:space="preserve">Sabor</t>
  </si>
  <si>
    <t xml:space="preserve">Cant.</t>
  </si>
  <si>
    <t xml:space="preserve">Precio original MXN (línea)</t>
  </si>
  <si>
    <t xml:space="preserve">Descuento MXN (línea)</t>
  </si>
  <si>
    <t xml:space="preserve">Precio rebajado MXN (línea)</t>
  </si>
  <si>
    <t xml:space="preserve">Rebajado MXN /unidad</t>
  </si>
  <si>
    <t xml:space="preserve">Mercancía Q /unidad</t>
  </si>
  <si>
    <t xml:space="preserve">Flete asignado Q /unidad</t>
  </si>
  <si>
    <t xml:space="preserve">Costo puesto en Huehue Q /unidad</t>
  </si>
  <si>
    <t xml:space="preserve">Precio web actual Q</t>
  </si>
  <si>
    <t xml:space="preserve">Precio sugerido Q</t>
  </si>
  <si>
    <t xml:space="preserve">Margen Q /unidad</t>
  </si>
  <si>
    <t xml:space="preserve">Margen %</t>
  </si>
  <si>
    <t xml:space="preserve">Ingreso potencial línea (Q, a precio sugerido)</t>
  </si>
  <si>
    <t xml:space="preserve">Costo total línea (Q)</t>
  </si>
  <si>
    <t xml:space="preserve">Creatina Micronizada ON 300g</t>
  </si>
  <si>
    <t xml:space="preserve">Sin sabor</t>
  </si>
  <si>
    <t xml:space="preserve">Mutant Whey 4lb (2 en 1)</t>
  </si>
  <si>
    <t xml:space="preserve">Triple Chocolate y Galleta *</t>
  </si>
  <si>
    <t xml:space="preserve">Mutant Caffeine 240 tabletas</t>
  </si>
  <si>
    <t xml:space="preserve">—</t>
  </si>
  <si>
    <t xml:space="preserve">Mutant Mass Extreme 6lb</t>
  </si>
  <si>
    <t xml:space="preserve">Vainilla Ice Cream</t>
  </si>
  <si>
    <t xml:space="preserve">Fibo Bar caja 6 piezas</t>
  </si>
  <si>
    <t xml:space="preserve">Cookies &amp; Cream</t>
  </si>
  <si>
    <t xml:space="preserve">Mutant Whey 5lb</t>
  </si>
  <si>
    <t xml:space="preserve">Triple Chocolate **</t>
  </si>
  <si>
    <t xml:space="preserve">Creatina Birdman 450g</t>
  </si>
  <si>
    <t xml:space="preserve">Gold Standard 5lb</t>
  </si>
  <si>
    <t xml:space="preserve">Double Rich Chocolate</t>
  </si>
  <si>
    <t xml:space="preserve">Dymatize ISO100 Hidrolizada 5lb</t>
  </si>
  <si>
    <t xml:space="preserve">Birthday Cake Pebbles</t>
  </si>
  <si>
    <t xml:space="preserve">Psychotic 35 serv</t>
  </si>
  <si>
    <t xml:space="preserve">Peach Mango</t>
  </si>
  <si>
    <t xml:space="preserve">Fruit Punch ***</t>
  </si>
  <si>
    <t xml:space="preserve">TOTAL / PROMEDIO</t>
  </si>
  <si>
    <t xml:space="preserve">Notas y pendientes encontrados en el sitio (no son parte del cálculo, son acción para ti):</t>
  </si>
  <si>
    <t xml:space="preserve">• *  El catálogo dice "Triple Chocolate y Vainilla" para el Mutant Whey 4lb — el sabor real de este pedido es "Triple Chocolate y Galleta". Corrige la etiqueta en el admin.</t>
  </si>
  <si>
    <t xml:space="preserve">• ** El Mutant Whey 5lb "Triple Chocolate" no existe todavía como variante en el catálogo (solo hay Cookies &amp; Cream y Vainilla Ice Cream) — agrégala en el admin antes de que llegue el pedido.</t>
  </si>
  <si>
    <t xml:space="preserve">• *** El Psychotic "Fruit Punch" tampoco existe como variante en el catálogo (solo Blue Raspberry y Peach Mango) — agrégala también.</t>
  </si>
  <si>
    <t xml:space="preserve">• Fibo Bar sigue con stock en null en el panel — ponle un número cuando llegue este pedido (3 cajas nuevas).</t>
  </si>
  <si>
    <t xml:space="preserve">• El tipo de cambio efectivo (C8) ya incluye lo que te cobró el banco por la conversión — no es el tipo de cambio de mercado, es el real que pagaste.</t>
  </si>
  <si>
    <t xml:space="preserve">• Columna L (Precio sugerido) es editable — cambia cualquier valor ahí y toda la hoja 2 se recalcula sola.</t>
  </si>
  <si>
    <t xml:space="preserve">FITFUEL — ¿Cuánto deja el primer drop?</t>
  </si>
  <si>
    <t xml:space="preserve">Editable: celdas azules. Todo lo demás se recalcula solo.</t>
  </si>
  <si>
    <t xml:space="preserve">Gastos de marketing del lanzamiento</t>
  </si>
  <si>
    <t xml:space="preserve">Marketing y publicidad (diseño, impresos, etc.)</t>
  </si>
  <si>
    <t xml:space="preserve">Meta Ads — Q por día</t>
  </si>
  <si>
    <t xml:space="preserve">Meta Ads — días</t>
  </si>
  <si>
    <t xml:space="preserve">Meta Ads — total</t>
  </si>
  <si>
    <t xml:space="preserve">Total gasto de marketing</t>
  </si>
  <si>
    <t xml:space="preserve">Regalo a 5 influencers de Huehuetenango</t>
  </si>
  <si>
    <t xml:space="preserve">Creatina Meta Nutrition 500g — ya está en tu catálogo (no es parte de este pedido, sale de tu stock actual). Es tu producto de mejor margen.</t>
  </si>
  <si>
    <t xml:space="preserve">Creatina Meta Nutrition 500g</t>
  </si>
  <si>
    <t xml:space="preserve">Cantidad a regalar</t>
  </si>
  <si>
    <t xml:space="preserve">Costo puesto en Huehue (Q/unidad, dado por ti)</t>
  </si>
  <si>
    <t xml:space="preserve">Precio de venta en la web (Q/unidad)</t>
  </si>
  <si>
    <t xml:space="preserve">Stock actual en el catálogo (verificado 17 sep)</t>
  </si>
  <si>
    <t xml:space="preserve">Stock restante para vender después del regalo</t>
  </si>
  <si>
    <t xml:space="preserve">Costo de las 5 unidades regaladas (lo que ya pagaste por ellas)</t>
  </si>
  <si>
    <t xml:space="preserve">Ingreso que dejas de recibir por no venderlas (5 × precio web)</t>
  </si>
  <si>
    <t xml:space="preserve">⚠ Con 6 en stock, regalar 5 deja solo 1 unidad para vender de tu producto de mejor margen — revisa si te conviene reponer antes del drop.</t>
  </si>
  <si>
    <t xml:space="preserve">Resultado del pedido nuevo (27 unidades — el regalo NO sale de aquí)</t>
  </si>
  <si>
    <t xml:space="preserve">Ingreso potencial si se vende el 100% del pedido nuevo (a precio sugerido)</t>
  </si>
  <si>
    <t xml:space="preserve">Costo del pedido nuevo puesto en Huehuetenango (COGS, fijo)</t>
  </si>
  <si>
    <t xml:space="preserve">Utilidad bruta del pedido nuevo</t>
  </si>
  <si>
    <t xml:space="preserve">Menos: gasto total de marketing (incl. Meta Ads)</t>
  </si>
  <si>
    <t xml:space="preserve">Menos: costo de las creatinas regaladas (vista conservadora — solo lo que costaron)</t>
  </si>
  <si>
    <t xml:space="preserve">UTILIDAD NETA — vista conservadora (regalo cuenta a su costo)</t>
  </si>
  <si>
    <t xml:space="preserve">Menos: ingreso perdido por regalar en vez de vender (vista de oportunidad)</t>
  </si>
  <si>
    <t xml:space="preserve">UTILIDAD NETA — vista de oportunidad (regalo cuenta a precio de venta)</t>
  </si>
  <si>
    <t xml:space="preserve">Las dos utilidades netas son la misma cifra vista de dos formas: en la conservadora, la creatina regalada cuenta solo lo que costó (ya es un gasto hundido, se venda o no). En la de oportunidad, cuenta lo que hubieras ganado vendiéndola — más realista si de verdad se vende sola. La real está entre las dos.</t>
  </si>
  <si>
    <t xml:space="preserve">Un primer drop rara vez se vende al 100% — sensibilidad (vista de oportunidad):</t>
  </si>
  <si>
    <t xml:space="preserve">% vendido del pedido nuevo</t>
  </si>
  <si>
    <t xml:space="preserve">Ingreso pedido nuevo</t>
  </si>
  <si>
    <t xml:space="preserve">Utilidad neta (oportunidad)</t>
  </si>
  <si>
    <t xml:space="preserve">El COGS, el marketing y el regalo ya están decididos sin importar cuánto se venda — por eso la utilidad cae más rápido que el ingreso cuando baja el % de venta.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</si>
</sst>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\Q#,##0.00"/>
    <numFmt numFmtId="167" formatCode="0.0000"/>
    <numFmt numFmtId="168" formatCode="0.0%"/>
    <numFmt numFmtId="169" formatCode="General"/>
    <numFmt numFmtId="170" formatCode="\Q#,##0.00"/>
    <numFmt numFmtId="171" formatCode="0%"/>
    <numFmt numFmtId="172" formatCode="\Q#,##0.00;&quot;(Q&quot;#,##0.00\)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i val="true"/>
      <sz val="9"/>
      <color rgb="FFCC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130F"/>
        <bgColor rgb="FF000000"/>
      </patternFill>
    </fill>
    <fill>
      <patternFill patternType="solid">
        <fgColor rgb="FFF2F0EC"/>
        <bgColor rgb="FFFDE2E2"/>
      </patternFill>
    </fill>
    <fill>
      <patternFill patternType="solid">
        <fgColor rgb="FFD4EFD4"/>
        <bgColor rgb="FFF2F0EC"/>
      </patternFill>
    </fill>
    <fill>
      <patternFill patternType="solid">
        <fgColor rgb="FFFDE2E2"/>
        <bgColor rgb="FFF2F0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0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FD4"/>
      <rgbColor rgb="FFFFFF99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6130F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7"/>
    <col collapsed="false" customWidth="true" hidden="false" outlineLevel="0" max="7" min="4" style="1" width="13"/>
    <col collapsed="false" customWidth="true" hidden="false" outlineLevel="0" max="9" min="8" style="1" width="12"/>
    <col collapsed="false" customWidth="true" hidden="false" outlineLevel="0" max="10" min="10" style="1" width="14"/>
    <col collapsed="false" customWidth="true" hidden="false" outlineLevel="0" max="13" min="11" style="1" width="12"/>
    <col collapsed="false" customWidth="true" hidden="false" outlineLevel="0" max="14" min="14" style="1" width="9"/>
    <col collapsed="false" customWidth="true" hidden="false" outlineLevel="0" max="15" min="15" style="1" width="16"/>
    <col collapsed="false" customWidth="true" hidden="false" outlineLevel="0" max="16" min="16" style="1" width="14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  <c r="C6" s="6" t="n">
        <f aca="false">SUM(F15:F27)</f>
        <v>15140.86</v>
      </c>
    </row>
    <row r="7" customFormat="false" ht="15" hidden="false" customHeight="true" outlineLevel="0" collapsed="false">
      <c r="B7" s="5" t="s">
        <v>4</v>
      </c>
      <c r="C7" s="7" t="n">
        <v>7190.75</v>
      </c>
    </row>
    <row r="8" customFormat="false" ht="15" hidden="false" customHeight="true" outlineLevel="0" collapsed="false">
      <c r="B8" s="5" t="s">
        <v>5</v>
      </c>
      <c r="C8" s="8" t="n">
        <f aca="false">C7/C6</f>
        <v>0.474923485191726</v>
      </c>
    </row>
    <row r="9" customFormat="false" ht="15" hidden="false" customHeight="true" outlineLevel="0" collapsed="false">
      <c r="B9" s="5" t="s">
        <v>6</v>
      </c>
      <c r="C9" s="7" t="n">
        <v>370</v>
      </c>
    </row>
    <row r="10" customFormat="false" ht="15" hidden="false" customHeight="true" outlineLevel="0" collapsed="false">
      <c r="B10" s="5" t="s">
        <v>7</v>
      </c>
      <c r="C10" s="7" t="n">
        <v>45</v>
      </c>
    </row>
    <row r="11" customFormat="false" ht="15" hidden="false" customHeight="true" outlineLevel="0" collapsed="false">
      <c r="B11" s="5" t="s">
        <v>8</v>
      </c>
      <c r="C11" s="9" t="n">
        <f aca="false">C9+C10</f>
        <v>415</v>
      </c>
    </row>
    <row r="12" customFormat="false" ht="15" hidden="false" customHeight="true" outlineLevel="0" collapsed="false">
      <c r="B12" s="5" t="s">
        <v>9</v>
      </c>
      <c r="C12" s="10" t="n">
        <f aca="false">C7+C11</f>
        <v>7605.75</v>
      </c>
    </row>
    <row r="14" customFormat="false" ht="51.75" hidden="false" customHeight="true" outlineLevel="0" collapsed="false">
      <c r="A14" s="11" t="s">
        <v>10</v>
      </c>
      <c r="B14" s="11" t="s">
        <v>11</v>
      </c>
      <c r="C14" s="11" t="s">
        <v>12</v>
      </c>
      <c r="D14" s="11" t="s">
        <v>13</v>
      </c>
      <c r="E14" s="11" t="s">
        <v>14</v>
      </c>
      <c r="F14" s="11" t="s">
        <v>15</v>
      </c>
      <c r="G14" s="11" t="s">
        <v>16</v>
      </c>
      <c r="H14" s="11" t="s">
        <v>17</v>
      </c>
      <c r="I14" s="11" t="s">
        <v>18</v>
      </c>
      <c r="J14" s="11" t="s">
        <v>19</v>
      </c>
      <c r="K14" s="11" t="s">
        <v>20</v>
      </c>
      <c r="L14" s="11" t="s">
        <v>21</v>
      </c>
      <c r="M14" s="11" t="s">
        <v>22</v>
      </c>
      <c r="N14" s="11" t="s">
        <v>23</v>
      </c>
      <c r="O14" s="11" t="s">
        <v>24</v>
      </c>
      <c r="P14" s="11" t="s">
        <v>25</v>
      </c>
    </row>
    <row r="15" customFormat="false" ht="15" hidden="false" customHeight="true" outlineLevel="0" collapsed="false">
      <c r="A15" s="12" t="s">
        <v>26</v>
      </c>
      <c r="B15" s="12" t="s">
        <v>27</v>
      </c>
      <c r="C15" s="13" t="n">
        <v>5</v>
      </c>
      <c r="D15" s="14" t="n">
        <v>2550</v>
      </c>
      <c r="E15" s="14" t="n">
        <v>433.5</v>
      </c>
      <c r="F15" s="14" t="n">
        <v>2116.5</v>
      </c>
      <c r="G15" s="14" t="n">
        <f aca="false">F15/C15</f>
        <v>423.3</v>
      </c>
      <c r="H15" s="15" t="n">
        <f aca="false">G15*$C$8</f>
        <v>201.035111281658</v>
      </c>
      <c r="I15" s="15" t="n">
        <f aca="false">(F15/$C$6)*$C$11/C15</f>
        <v>11.6023462339656</v>
      </c>
      <c r="J15" s="15" t="n">
        <f aca="false">H15+I15</f>
        <v>212.637457515623</v>
      </c>
      <c r="K15" s="12" t="n">
        <v>350</v>
      </c>
      <c r="L15" s="16" t="n">
        <v>350</v>
      </c>
      <c r="M15" s="15" t="n">
        <f aca="false">L15-J15</f>
        <v>137.362542484377</v>
      </c>
      <c r="N15" s="17" t="n">
        <f aca="false">M15/L15</f>
        <v>0.392464407098219</v>
      </c>
      <c r="O15" s="15" t="n">
        <f aca="false">C15*L15</f>
        <v>1750</v>
      </c>
      <c r="P15" s="15" t="n">
        <f aca="false">C15*J15</f>
        <v>1063.18728757812</v>
      </c>
    </row>
    <row r="16" customFormat="false" ht="15" hidden="false" customHeight="true" outlineLevel="0" collapsed="false">
      <c r="A16" s="18" t="s">
        <v>28</v>
      </c>
      <c r="B16" s="18" t="s">
        <v>29</v>
      </c>
      <c r="C16" s="19" t="n">
        <v>1</v>
      </c>
      <c r="D16" s="20" t="n">
        <v>999</v>
      </c>
      <c r="E16" s="20" t="n">
        <v>169.83</v>
      </c>
      <c r="F16" s="20" t="n">
        <v>829.17</v>
      </c>
      <c r="G16" s="20" t="n">
        <f aca="false">F16/C16</f>
        <v>829.17</v>
      </c>
      <c r="H16" s="21" t="n">
        <f aca="false">G16*$C$8</f>
        <v>393.792306216424</v>
      </c>
      <c r="I16" s="21" t="n">
        <f aca="false">(F16/$C$6)*$C$11/C16</f>
        <v>22.7269487994737</v>
      </c>
      <c r="J16" s="21" t="n">
        <f aca="false">H16+I16</f>
        <v>416.519255015897</v>
      </c>
      <c r="K16" s="18" t="n">
        <v>549</v>
      </c>
      <c r="L16" s="22" t="n">
        <v>549</v>
      </c>
      <c r="M16" s="21" t="n">
        <f aca="false">L16-J16</f>
        <v>132.480744984103</v>
      </c>
      <c r="N16" s="23" t="n">
        <f aca="false">M16/L16</f>
        <v>0.24131283239363</v>
      </c>
      <c r="O16" s="21" t="n">
        <f aca="false">C16*L16</f>
        <v>549</v>
      </c>
      <c r="P16" s="21" t="n">
        <f aca="false">C16*J16</f>
        <v>416.519255015897</v>
      </c>
    </row>
    <row r="17" customFormat="false" ht="15" hidden="false" customHeight="true" outlineLevel="0" collapsed="false">
      <c r="A17" s="12" t="s">
        <v>30</v>
      </c>
      <c r="B17" s="12" t="s">
        <v>31</v>
      </c>
      <c r="C17" s="13" t="n">
        <v>3</v>
      </c>
      <c r="D17" s="14" t="n">
        <v>840</v>
      </c>
      <c r="E17" s="14" t="n">
        <v>142.8</v>
      </c>
      <c r="F17" s="14" t="n">
        <v>697.2</v>
      </c>
      <c r="G17" s="14" t="n">
        <f aca="false">F17/C17</f>
        <v>232.4</v>
      </c>
      <c r="H17" s="15" t="n">
        <f aca="false">G17*$C$8</f>
        <v>110.372217958557</v>
      </c>
      <c r="I17" s="15" t="n">
        <f aca="false">(F17/$C$6)*$C$11/C17</f>
        <v>6.36991557943208</v>
      </c>
      <c r="J17" s="15" t="n">
        <f aca="false">H17+I17</f>
        <v>116.742133537989</v>
      </c>
      <c r="K17" s="12" t="n">
        <v>269</v>
      </c>
      <c r="L17" s="16" t="n">
        <v>269</v>
      </c>
      <c r="M17" s="15" t="n">
        <f aca="false">L17-J17</f>
        <v>152.257866462011</v>
      </c>
      <c r="N17" s="17" t="n">
        <f aca="false">M17/L17</f>
        <v>0.566014373464724</v>
      </c>
      <c r="O17" s="15" t="n">
        <f aca="false">C17*L17</f>
        <v>807</v>
      </c>
      <c r="P17" s="15" t="n">
        <f aca="false">C17*J17</f>
        <v>350.226400613968</v>
      </c>
    </row>
    <row r="18" customFormat="false" ht="15" hidden="false" customHeight="true" outlineLevel="0" collapsed="false">
      <c r="A18" s="18" t="s">
        <v>32</v>
      </c>
      <c r="B18" s="18" t="s">
        <v>33</v>
      </c>
      <c r="C18" s="19" t="n">
        <v>3</v>
      </c>
      <c r="D18" s="20" t="n">
        <v>1860</v>
      </c>
      <c r="E18" s="20" t="n">
        <v>316.2</v>
      </c>
      <c r="F18" s="20" t="n">
        <v>1543.8</v>
      </c>
      <c r="G18" s="20" t="n">
        <f aca="false">F18/C18</f>
        <v>514.6</v>
      </c>
      <c r="H18" s="21" t="n">
        <f aca="false">G18*$C$8</f>
        <v>244.395625479662</v>
      </c>
      <c r="I18" s="21" t="n">
        <f aca="false">(F18/$C$6)*$C$11/C18</f>
        <v>14.1048130687425</v>
      </c>
      <c r="J18" s="21" t="n">
        <f aca="false">H18+I18</f>
        <v>258.500438548405</v>
      </c>
      <c r="K18" s="18" t="n">
        <v>399</v>
      </c>
      <c r="L18" s="22" t="n">
        <v>399</v>
      </c>
      <c r="M18" s="21" t="n">
        <f aca="false">L18-J18</f>
        <v>140.499561451595</v>
      </c>
      <c r="N18" s="23" t="n">
        <f aca="false">M18/L18</f>
        <v>0.352129226695727</v>
      </c>
      <c r="O18" s="21" t="n">
        <f aca="false">C18*L18</f>
        <v>1197</v>
      </c>
      <c r="P18" s="21" t="n">
        <f aca="false">C18*J18</f>
        <v>775.501315645214</v>
      </c>
    </row>
    <row r="19" customFormat="false" ht="15" hidden="false" customHeight="true" outlineLevel="0" collapsed="false">
      <c r="A19" s="12" t="s">
        <v>34</v>
      </c>
      <c r="B19" s="12" t="s">
        <v>35</v>
      </c>
      <c r="C19" s="13" t="n">
        <v>3</v>
      </c>
      <c r="D19" s="14" t="n">
        <v>735</v>
      </c>
      <c r="E19" s="14" t="n">
        <v>124.95</v>
      </c>
      <c r="F19" s="14" t="n">
        <v>610.05</v>
      </c>
      <c r="G19" s="14" t="n">
        <f aca="false">F19/C19</f>
        <v>203.35</v>
      </c>
      <c r="H19" s="15" t="n">
        <f aca="false">G19*$C$8</f>
        <v>96.5756907137375</v>
      </c>
      <c r="I19" s="15" t="n">
        <f aca="false">(F19/$C$6)*$C$11/C19</f>
        <v>5.57367613200307</v>
      </c>
      <c r="J19" s="15" t="n">
        <f aca="false">H19+I19</f>
        <v>102.149366845741</v>
      </c>
      <c r="K19" s="12" t="n">
        <v>119</v>
      </c>
      <c r="L19" s="16" t="n">
        <v>119</v>
      </c>
      <c r="M19" s="15" t="n">
        <f aca="false">L19-J19</f>
        <v>16.8506331542594</v>
      </c>
      <c r="N19" s="17" t="n">
        <f aca="false">M19/L19</f>
        <v>0.141601959279491</v>
      </c>
      <c r="O19" s="15" t="n">
        <f aca="false">C19*L19</f>
        <v>357</v>
      </c>
      <c r="P19" s="15" t="n">
        <f aca="false">C19*J19</f>
        <v>306.448100537222</v>
      </c>
    </row>
    <row r="20" customFormat="false" ht="15" hidden="false" customHeight="true" outlineLevel="0" collapsed="false">
      <c r="A20" s="18" t="s">
        <v>36</v>
      </c>
      <c r="B20" s="18" t="s">
        <v>37</v>
      </c>
      <c r="C20" s="19" t="n">
        <v>1</v>
      </c>
      <c r="D20" s="20" t="n">
        <v>1060</v>
      </c>
      <c r="E20" s="20" t="n">
        <v>180.2</v>
      </c>
      <c r="F20" s="20" t="n">
        <v>879.8</v>
      </c>
      <c r="G20" s="20" t="n">
        <f aca="false">F20/C20</f>
        <v>879.8</v>
      </c>
      <c r="H20" s="21" t="n">
        <f aca="false">G20*$C$8</f>
        <v>417.837682271681</v>
      </c>
      <c r="I20" s="21" t="n">
        <f aca="false">(F20/$C$6)*$C$11/C20</f>
        <v>24.11468040785</v>
      </c>
      <c r="J20" s="21" t="n">
        <f aca="false">H20+I20</f>
        <v>441.952362679531</v>
      </c>
      <c r="K20" s="18" t="n">
        <v>525</v>
      </c>
      <c r="L20" s="22" t="n">
        <v>525</v>
      </c>
      <c r="M20" s="21" t="n">
        <f aca="false">L20-J20</f>
        <v>83.0476373204693</v>
      </c>
      <c r="N20" s="23" t="n">
        <f aca="false">M20/L20</f>
        <v>0.158185975848513</v>
      </c>
      <c r="O20" s="21" t="n">
        <f aca="false">C20*L20</f>
        <v>525</v>
      </c>
      <c r="P20" s="21" t="n">
        <f aca="false">C20*J20</f>
        <v>441.952362679531</v>
      </c>
    </row>
    <row r="21" customFormat="false" ht="15" hidden="false" customHeight="true" outlineLevel="0" collapsed="false">
      <c r="A21" s="12" t="s">
        <v>36</v>
      </c>
      <c r="B21" s="12" t="s">
        <v>33</v>
      </c>
      <c r="C21" s="13" t="n">
        <v>1</v>
      </c>
      <c r="D21" s="14" t="n">
        <v>1060</v>
      </c>
      <c r="E21" s="14" t="n">
        <v>180.2</v>
      </c>
      <c r="F21" s="14" t="n">
        <v>879.8</v>
      </c>
      <c r="G21" s="14" t="n">
        <f aca="false">F21/C21</f>
        <v>879.8</v>
      </c>
      <c r="H21" s="15" t="n">
        <f aca="false">G21*$C$8</f>
        <v>417.837682271681</v>
      </c>
      <c r="I21" s="15" t="n">
        <f aca="false">(F21/$C$6)*$C$11/C21</f>
        <v>24.11468040785</v>
      </c>
      <c r="J21" s="15" t="n">
        <f aca="false">H21+I21</f>
        <v>441.952362679531</v>
      </c>
      <c r="K21" s="12" t="n">
        <v>525</v>
      </c>
      <c r="L21" s="16" t="n">
        <v>525</v>
      </c>
      <c r="M21" s="15" t="n">
        <f aca="false">L21-J21</f>
        <v>83.0476373204693</v>
      </c>
      <c r="N21" s="17" t="n">
        <f aca="false">M21/L21</f>
        <v>0.158185975848513</v>
      </c>
      <c r="O21" s="15" t="n">
        <f aca="false">C21*L21</f>
        <v>525</v>
      </c>
      <c r="P21" s="15" t="n">
        <f aca="false">C21*J21</f>
        <v>441.952362679531</v>
      </c>
    </row>
    <row r="22" customFormat="false" ht="15" hidden="false" customHeight="true" outlineLevel="0" collapsed="false">
      <c r="A22" s="18" t="s">
        <v>38</v>
      </c>
      <c r="B22" s="18" t="s">
        <v>27</v>
      </c>
      <c r="C22" s="19" t="n">
        <v>3</v>
      </c>
      <c r="D22" s="20" t="n">
        <v>1458</v>
      </c>
      <c r="E22" s="20" t="n">
        <v>247.86</v>
      </c>
      <c r="F22" s="20" t="n">
        <v>1210.14</v>
      </c>
      <c r="G22" s="20" t="n">
        <f aca="false">F22/C22</f>
        <v>403.38</v>
      </c>
      <c r="H22" s="21" t="n">
        <f aca="false">G22*$C$8</f>
        <v>191.574635456639</v>
      </c>
      <c r="I22" s="21" t="n">
        <f aca="false">(F22/$C$6)*$C$11/C22</f>
        <v>11.0563534700143</v>
      </c>
      <c r="J22" s="21" t="n">
        <f aca="false">H22+I22</f>
        <v>202.630988926653</v>
      </c>
      <c r="K22" s="18" t="n">
        <v>339</v>
      </c>
      <c r="L22" s="22" t="n">
        <v>339</v>
      </c>
      <c r="M22" s="21" t="n">
        <f aca="false">L22-J22</f>
        <v>136.369011073347</v>
      </c>
      <c r="N22" s="23" t="n">
        <f aca="false">M22/L22</f>
        <v>0.402268469242912</v>
      </c>
      <c r="O22" s="21" t="n">
        <f aca="false">C22*L22</f>
        <v>1017</v>
      </c>
      <c r="P22" s="21" t="n">
        <f aca="false">C22*J22</f>
        <v>607.892966779958</v>
      </c>
    </row>
    <row r="23" customFormat="false" ht="15" hidden="false" customHeight="true" outlineLevel="0" collapsed="false">
      <c r="A23" s="12" t="s">
        <v>39</v>
      </c>
      <c r="B23" s="12" t="s">
        <v>33</v>
      </c>
      <c r="C23" s="13" t="n">
        <v>1</v>
      </c>
      <c r="D23" s="14" t="n">
        <v>1770</v>
      </c>
      <c r="E23" s="14" t="n">
        <v>300.9</v>
      </c>
      <c r="F23" s="14" t="n">
        <v>1469.1</v>
      </c>
      <c r="G23" s="14" t="n">
        <f aca="false">F23/C23</f>
        <v>1469.1</v>
      </c>
      <c r="H23" s="15" t="n">
        <f aca="false">G23*$C$8</f>
        <v>697.710092095165</v>
      </c>
      <c r="I23" s="15" t="n">
        <f aca="false">(F23/$C$6)*$C$11/C23</f>
        <v>40.2669663414099</v>
      </c>
      <c r="J23" s="15" t="n">
        <f aca="false">H23+I23</f>
        <v>737.977058436575</v>
      </c>
      <c r="K23" s="12" t="n">
        <v>815</v>
      </c>
      <c r="L23" s="16" t="n">
        <v>849</v>
      </c>
      <c r="M23" s="15" t="n">
        <f aca="false">L23-J23</f>
        <v>111.022941563425</v>
      </c>
      <c r="N23" s="17" t="n">
        <f aca="false">M23/L23</f>
        <v>0.130769071335012</v>
      </c>
      <c r="O23" s="15" t="n">
        <f aca="false">C23*L23</f>
        <v>849</v>
      </c>
      <c r="P23" s="15" t="n">
        <f aca="false">C23*J23</f>
        <v>737.977058436575</v>
      </c>
    </row>
    <row r="24" customFormat="false" ht="15" hidden="false" customHeight="true" outlineLevel="0" collapsed="false">
      <c r="A24" s="18" t="s">
        <v>39</v>
      </c>
      <c r="B24" s="18" t="s">
        <v>40</v>
      </c>
      <c r="C24" s="19" t="n">
        <v>1</v>
      </c>
      <c r="D24" s="20" t="n">
        <v>1770</v>
      </c>
      <c r="E24" s="20" t="n">
        <v>300.9</v>
      </c>
      <c r="F24" s="20" t="n">
        <v>1469.1</v>
      </c>
      <c r="G24" s="20" t="n">
        <f aca="false">F24/C24</f>
        <v>1469.1</v>
      </c>
      <c r="H24" s="21" t="n">
        <f aca="false">G24*$C$8</f>
        <v>697.710092095165</v>
      </c>
      <c r="I24" s="21" t="n">
        <f aca="false">(F24/$C$6)*$C$11/C24</f>
        <v>40.2669663414099</v>
      </c>
      <c r="J24" s="21" t="n">
        <f aca="false">H24+I24</f>
        <v>737.977058436575</v>
      </c>
      <c r="K24" s="18" t="n">
        <v>815</v>
      </c>
      <c r="L24" s="22" t="n">
        <v>849</v>
      </c>
      <c r="M24" s="21" t="n">
        <f aca="false">L24-J24</f>
        <v>111.022941563425</v>
      </c>
      <c r="N24" s="23" t="n">
        <f aca="false">M24/L24</f>
        <v>0.130769071335012</v>
      </c>
      <c r="O24" s="21" t="n">
        <f aca="false">C24*L24</f>
        <v>849</v>
      </c>
      <c r="P24" s="21" t="n">
        <f aca="false">C24*J24</f>
        <v>737.977058436575</v>
      </c>
    </row>
    <row r="25" customFormat="false" ht="15" hidden="false" customHeight="true" outlineLevel="0" collapsed="false">
      <c r="A25" s="12" t="s">
        <v>41</v>
      </c>
      <c r="B25" s="12" t="s">
        <v>42</v>
      </c>
      <c r="C25" s="13" t="n">
        <v>1</v>
      </c>
      <c r="D25" s="14" t="n">
        <v>2380</v>
      </c>
      <c r="E25" s="14" t="n">
        <v>404.6</v>
      </c>
      <c r="F25" s="14" t="n">
        <v>1975.4</v>
      </c>
      <c r="G25" s="14" t="n">
        <f aca="false">F25/C25</f>
        <v>1975.4</v>
      </c>
      <c r="H25" s="15" t="n">
        <f aca="false">G25*$C$8</f>
        <v>938.163852647736</v>
      </c>
      <c r="I25" s="15" t="n">
        <f aca="false">(F25/$C$6)*$C$11/C25</f>
        <v>54.1442824251727</v>
      </c>
      <c r="J25" s="15" t="n">
        <f aca="false">H25+I25</f>
        <v>992.308135072909</v>
      </c>
      <c r="K25" s="12" t="n">
        <v>1059</v>
      </c>
      <c r="L25" s="16" t="n">
        <v>1099</v>
      </c>
      <c r="M25" s="15" t="n">
        <f aca="false">L25-J25</f>
        <v>106.691864927091</v>
      </c>
      <c r="N25" s="17" t="n">
        <f aca="false">M25/L25</f>
        <v>0.0970808598062705</v>
      </c>
      <c r="O25" s="15" t="n">
        <f aca="false">C25*L25</f>
        <v>1099</v>
      </c>
      <c r="P25" s="15" t="n">
        <f aca="false">C25*J25</f>
        <v>992.308135072909</v>
      </c>
    </row>
    <row r="26" customFormat="false" ht="15" hidden="false" customHeight="true" outlineLevel="0" collapsed="false">
      <c r="A26" s="18" t="s">
        <v>43</v>
      </c>
      <c r="B26" s="18" t="s">
        <v>44</v>
      </c>
      <c r="C26" s="19" t="n">
        <v>2</v>
      </c>
      <c r="D26" s="20" t="n">
        <v>880</v>
      </c>
      <c r="E26" s="20" t="n">
        <v>149.6</v>
      </c>
      <c r="F26" s="20" t="n">
        <v>730.4</v>
      </c>
      <c r="G26" s="20" t="n">
        <f aca="false">F26/C26</f>
        <v>365.2</v>
      </c>
      <c r="H26" s="21" t="n">
        <f aca="false">G26*$C$8</f>
        <v>173.442056792018</v>
      </c>
      <c r="I26" s="21" t="n">
        <f aca="false">(F26/$C$6)*$C$11/C26</f>
        <v>10.0098673391076</v>
      </c>
      <c r="J26" s="21" t="n">
        <f aca="false">H26+I26</f>
        <v>183.451924131126</v>
      </c>
      <c r="K26" s="18" t="n">
        <v>280</v>
      </c>
      <c r="L26" s="22" t="n">
        <v>280</v>
      </c>
      <c r="M26" s="21" t="n">
        <f aca="false">L26-J26</f>
        <v>96.548075868874</v>
      </c>
      <c r="N26" s="23" t="n">
        <f aca="false">M26/L26</f>
        <v>0.34481455667455</v>
      </c>
      <c r="O26" s="21" t="n">
        <f aca="false">C26*L26</f>
        <v>560</v>
      </c>
      <c r="P26" s="21" t="n">
        <f aca="false">C26*J26</f>
        <v>366.903848262252</v>
      </c>
    </row>
    <row r="27" customFormat="false" ht="15" hidden="false" customHeight="true" outlineLevel="0" collapsed="false">
      <c r="A27" s="12" t="s">
        <v>43</v>
      </c>
      <c r="B27" s="12" t="s">
        <v>45</v>
      </c>
      <c r="C27" s="13" t="n">
        <v>2</v>
      </c>
      <c r="D27" s="14" t="n">
        <v>880</v>
      </c>
      <c r="E27" s="14" t="n">
        <v>149.6</v>
      </c>
      <c r="F27" s="14" t="n">
        <v>730.4</v>
      </c>
      <c r="G27" s="14" t="n">
        <f aca="false">F27/C27</f>
        <v>365.2</v>
      </c>
      <c r="H27" s="15" t="n">
        <f aca="false">G27*$C$8</f>
        <v>173.442056792018</v>
      </c>
      <c r="I27" s="15" t="n">
        <f aca="false">(F27/$C$6)*$C$11/C27</f>
        <v>10.0098673391076</v>
      </c>
      <c r="J27" s="15" t="n">
        <f aca="false">H27+I27</f>
        <v>183.451924131126</v>
      </c>
      <c r="K27" s="12" t="n">
        <v>280</v>
      </c>
      <c r="L27" s="16" t="n">
        <v>280</v>
      </c>
      <c r="M27" s="15" t="n">
        <f aca="false">L27-J27</f>
        <v>96.548075868874</v>
      </c>
      <c r="N27" s="17" t="n">
        <f aca="false">M27/L27</f>
        <v>0.34481455667455</v>
      </c>
      <c r="O27" s="15" t="n">
        <f aca="false">C27*L27</f>
        <v>560</v>
      </c>
      <c r="P27" s="15" t="n">
        <f aca="false">C27*J27</f>
        <v>366.903848262252</v>
      </c>
    </row>
    <row r="28" customFormat="false" ht="15" hidden="false" customHeight="true" outlineLevel="0" collapsed="false">
      <c r="A28" s="4" t="s">
        <v>46</v>
      </c>
      <c r="C28" s="24" t="n">
        <f aca="false">SUM(C15:C27)</f>
        <v>27</v>
      </c>
      <c r="M28" s="25" t="n">
        <f aca="false">O28-P28</f>
        <v>3038.25</v>
      </c>
      <c r="N28" s="26" t="n">
        <f aca="false">M28/O28</f>
        <v>0.285442502818489</v>
      </c>
      <c r="O28" s="25" t="n">
        <f aca="false">SUM(O15:O27)</f>
        <v>10644</v>
      </c>
      <c r="P28" s="25" t="n">
        <f aca="false">SUM(P15:P27)</f>
        <v>7605.75</v>
      </c>
    </row>
    <row r="30" customFormat="false" ht="15" hidden="false" customHeight="true" outlineLevel="0" collapsed="false">
      <c r="B30" s="4" t="s">
        <v>47</v>
      </c>
    </row>
    <row r="31" customFormat="false" ht="74.25" hidden="false" customHeight="true" outlineLevel="0" collapsed="false">
      <c r="B31" s="27" t="s">
        <v>48</v>
      </c>
    </row>
    <row r="32" customFormat="false" ht="84.75" hidden="false" customHeight="true" outlineLevel="0" collapsed="false">
      <c r="B32" s="27" t="s">
        <v>49</v>
      </c>
    </row>
    <row r="33" customFormat="false" ht="63.75" hidden="false" customHeight="true" outlineLevel="0" collapsed="false">
      <c r="B33" s="27" t="s">
        <v>50</v>
      </c>
    </row>
    <row r="34" customFormat="false" ht="53.25" hidden="false" customHeight="true" outlineLevel="0" collapsed="false">
      <c r="B34" s="27" t="s">
        <v>51</v>
      </c>
    </row>
    <row r="35" customFormat="false" ht="63.75" hidden="false" customHeight="true" outlineLevel="0" collapsed="false">
      <c r="B35" s="27" t="s">
        <v>52</v>
      </c>
    </row>
    <row r="36" customFormat="false" ht="53.25" hidden="false" customHeight="true" outlineLevel="0" collapsed="false">
      <c r="B36" s="27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2"/>
    <col collapsed="false" customWidth="true" hidden="false" outlineLevel="0" max="3" min="3" style="0" width="20"/>
    <col collapsed="false" customWidth="true" hidden="false" outlineLevel="0" max="4" min="4" style="0" width="22"/>
  </cols>
  <sheetData>
    <row r="2" customFormat="false" ht="17.35" hidden="false" customHeight="false" outlineLevel="0" collapsed="false">
      <c r="B2" s="28" t="s">
        <v>54</v>
      </c>
    </row>
    <row r="3" customFormat="false" ht="15" hidden="false" customHeight="false" outlineLevel="0" collapsed="false">
      <c r="B3" s="29" t="s">
        <v>55</v>
      </c>
    </row>
    <row r="5" customFormat="false" ht="15" hidden="false" customHeight="false" outlineLevel="0" collapsed="false">
      <c r="B5" s="30" t="s">
        <v>56</v>
      </c>
    </row>
    <row r="6" customFormat="false" ht="15" hidden="false" customHeight="false" outlineLevel="0" collapsed="false">
      <c r="B6" s="0" t="s">
        <v>57</v>
      </c>
      <c r="C6" s="31" t="n">
        <v>1500</v>
      </c>
    </row>
    <row r="7" customFormat="false" ht="15" hidden="false" customHeight="false" outlineLevel="0" collapsed="false">
      <c r="B7" s="0" t="s">
        <v>58</v>
      </c>
      <c r="C7" s="31" t="n">
        <v>70</v>
      </c>
    </row>
    <row r="8" customFormat="false" ht="15" hidden="false" customHeight="false" outlineLevel="0" collapsed="false">
      <c r="B8" s="0" t="s">
        <v>59</v>
      </c>
      <c r="C8" s="32" t="n">
        <v>7</v>
      </c>
    </row>
    <row r="9" customFormat="false" ht="15" hidden="false" customHeight="false" outlineLevel="0" collapsed="false">
      <c r="B9" s="0" t="s">
        <v>60</v>
      </c>
      <c r="C9" s="33" t="n">
        <f aca="false">C7*C8</f>
        <v>490</v>
      </c>
    </row>
    <row r="10" customFormat="false" ht="15" hidden="false" customHeight="false" outlineLevel="0" collapsed="false">
      <c r="B10" s="30" t="s">
        <v>61</v>
      </c>
      <c r="C10" s="34" t="n">
        <f aca="false">C6+C9</f>
        <v>1990</v>
      </c>
    </row>
    <row r="12" customFormat="false" ht="15" hidden="false" customHeight="false" outlineLevel="0" collapsed="false">
      <c r="B12" s="30" t="s">
        <v>62</v>
      </c>
    </row>
    <row r="13" customFormat="false" ht="22.35" hidden="false" customHeight="false" outlineLevel="0" collapsed="false">
      <c r="B13" s="35" t="s">
        <v>63</v>
      </c>
    </row>
    <row r="14" customFormat="false" ht="15" hidden="false" customHeight="false" outlineLevel="0" collapsed="false">
      <c r="B14" s="0" t="s">
        <v>10</v>
      </c>
      <c r="C14" s="32" t="s">
        <v>64</v>
      </c>
    </row>
    <row r="15" customFormat="false" ht="15" hidden="false" customHeight="false" outlineLevel="0" collapsed="false">
      <c r="B15" s="0" t="s">
        <v>65</v>
      </c>
      <c r="C15" s="32" t="n">
        <v>5</v>
      </c>
    </row>
    <row r="16" customFormat="false" ht="15" hidden="false" customHeight="false" outlineLevel="0" collapsed="false">
      <c r="B16" s="0" t="s">
        <v>66</v>
      </c>
      <c r="C16" s="31" t="n">
        <v>109.94</v>
      </c>
    </row>
    <row r="17" customFormat="false" ht="15" hidden="false" customHeight="false" outlineLevel="0" collapsed="false">
      <c r="B17" s="0" t="s">
        <v>67</v>
      </c>
      <c r="C17" s="31" t="n">
        <v>299</v>
      </c>
    </row>
    <row r="18" customFormat="false" ht="15" hidden="false" customHeight="false" outlineLevel="0" collapsed="false">
      <c r="B18" s="0" t="s">
        <v>68</v>
      </c>
      <c r="C18" s="32" t="n">
        <v>6</v>
      </c>
    </row>
    <row r="19" customFormat="false" ht="15" hidden="false" customHeight="false" outlineLevel="0" collapsed="false">
      <c r="B19" s="30" t="s">
        <v>69</v>
      </c>
      <c r="C19" s="36" t="n">
        <f aca="false">C18-C15</f>
        <v>1</v>
      </c>
    </row>
    <row r="21" customFormat="false" ht="15" hidden="false" customHeight="false" outlineLevel="0" collapsed="false">
      <c r="B21" s="0" t="s">
        <v>70</v>
      </c>
      <c r="C21" s="33" t="n">
        <f aca="false">C15*C16</f>
        <v>549.7</v>
      </c>
    </row>
    <row r="22" customFormat="false" ht="15" hidden="false" customHeight="false" outlineLevel="0" collapsed="false">
      <c r="B22" s="0" t="s">
        <v>71</v>
      </c>
      <c r="C22" s="33" t="n">
        <f aca="false">C15*C17</f>
        <v>1495</v>
      </c>
    </row>
    <row r="24" customFormat="false" ht="22.35" hidden="false" customHeight="false" outlineLevel="0" collapsed="false">
      <c r="B24" s="37" t="s">
        <v>72</v>
      </c>
    </row>
    <row r="27" customFormat="false" ht="15" hidden="false" customHeight="false" outlineLevel="0" collapsed="false">
      <c r="B27" s="30" t="s">
        <v>73</v>
      </c>
    </row>
    <row r="28" customFormat="false" ht="15" hidden="false" customHeight="false" outlineLevel="0" collapsed="false">
      <c r="B28" s="0" t="s">
        <v>74</v>
      </c>
      <c r="C28" s="33" t="n">
        <f aca="false">'Pedido y Costos Reales'!O28</f>
        <v>10644</v>
      </c>
    </row>
    <row r="29" customFormat="false" ht="15" hidden="false" customHeight="false" outlineLevel="0" collapsed="false">
      <c r="B29" s="0" t="s">
        <v>75</v>
      </c>
      <c r="C29" s="33" t="n">
        <f aca="false">'Pedido y Costos Reales'!P28</f>
        <v>7605.75</v>
      </c>
    </row>
    <row r="30" customFormat="false" ht="15" hidden="false" customHeight="false" outlineLevel="0" collapsed="false">
      <c r="B30" s="30" t="s">
        <v>76</v>
      </c>
      <c r="C30" s="34" t="n">
        <f aca="false">C28-C29</f>
        <v>3038.25</v>
      </c>
    </row>
    <row r="31" customFormat="false" ht="15" hidden="false" customHeight="false" outlineLevel="0" collapsed="false">
      <c r="B31" s="0" t="s">
        <v>77</v>
      </c>
      <c r="C31" s="33" t="n">
        <f aca="false">-C10</f>
        <v>-1990</v>
      </c>
    </row>
    <row r="32" customFormat="false" ht="15" hidden="false" customHeight="false" outlineLevel="0" collapsed="false">
      <c r="B32" s="0" t="s">
        <v>78</v>
      </c>
      <c r="C32" s="33" t="n">
        <f aca="false">-C21</f>
        <v>-549.7</v>
      </c>
    </row>
    <row r="33" customFormat="false" ht="15" hidden="false" customHeight="false" outlineLevel="0" collapsed="false">
      <c r="B33" s="38" t="s">
        <v>79</v>
      </c>
      <c r="C33" s="39" t="n">
        <f aca="false">C30+C31+C32</f>
        <v>498.55</v>
      </c>
    </row>
    <row r="34" customFormat="false" ht="15" hidden="false" customHeight="false" outlineLevel="0" collapsed="false">
      <c r="B34" s="0" t="s">
        <v>80</v>
      </c>
      <c r="C34" s="33" t="n">
        <f aca="false">-C22</f>
        <v>-1495</v>
      </c>
    </row>
    <row r="35" customFormat="false" ht="15" hidden="false" customHeight="false" outlineLevel="0" collapsed="false">
      <c r="B35" s="38" t="s">
        <v>81</v>
      </c>
      <c r="C35" s="40" t="n">
        <f aca="false">C33+C34-C32</f>
        <v>-446.75</v>
      </c>
    </row>
    <row r="37" customFormat="false" ht="43.25" hidden="false" customHeight="false" outlineLevel="0" collapsed="false">
      <c r="B37" s="35" t="s">
        <v>82</v>
      </c>
    </row>
    <row r="40" customFormat="false" ht="15" hidden="false" customHeight="false" outlineLevel="0" collapsed="false">
      <c r="B40" s="30" t="s">
        <v>83</v>
      </c>
    </row>
    <row r="41" customFormat="false" ht="26.85" hidden="false" customHeight="false" outlineLevel="0" collapsed="false">
      <c r="B41" s="11" t="s">
        <v>84</v>
      </c>
      <c r="C41" s="11" t="s">
        <v>85</v>
      </c>
      <c r="D41" s="11" t="s">
        <v>86</v>
      </c>
    </row>
    <row r="42" customFormat="false" ht="15" hidden="false" customHeight="false" outlineLevel="0" collapsed="false">
      <c r="B42" s="41" t="n">
        <v>1</v>
      </c>
      <c r="C42" s="33" t="n">
        <f aca="false">C28*B42</f>
        <v>10644</v>
      </c>
      <c r="D42" s="42" t="n">
        <f aca="false">C42-C29+C31+C34</f>
        <v>-446.75</v>
      </c>
    </row>
    <row r="43" customFormat="false" ht="15" hidden="false" customHeight="false" outlineLevel="0" collapsed="false">
      <c r="B43" s="41" t="n">
        <v>0.75</v>
      </c>
      <c r="C43" s="33" t="n">
        <f aca="false">C28*B43</f>
        <v>7983</v>
      </c>
      <c r="D43" s="42" t="n">
        <f aca="false">C43-C29+C31+C34</f>
        <v>-3107.75</v>
      </c>
    </row>
    <row r="44" customFormat="false" ht="15" hidden="false" customHeight="false" outlineLevel="0" collapsed="false">
      <c r="B44" s="41" t="n">
        <v>0.5</v>
      </c>
      <c r="C44" s="33" t="n">
        <f aca="false">C28*B44</f>
        <v>5322</v>
      </c>
      <c r="D44" s="42" t="n">
        <f aca="false">C44-C29+C31+C34</f>
        <v>-5768.75</v>
      </c>
    </row>
    <row r="45" customFormat="false" ht="15" hidden="false" customHeight="false" outlineLevel="0" collapsed="false">
      <c r="B45" s="41" t="n">
        <v>0.35</v>
      </c>
      <c r="C45" s="33" t="n">
        <f aca="false">C28*B45</f>
        <v>3725.4</v>
      </c>
      <c r="D45" s="42" t="n">
        <f aca="false">C45-C29+C31+C34</f>
        <v>-7365.35</v>
      </c>
    </row>
    <row r="47" customFormat="false" ht="22.35" hidden="false" customHeight="false" outlineLevel="0" collapsed="false">
      <c r="B47" s="35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2026-09-17T00:07:05Z</dcterms:created>
  <dc:creator>openpyxl</dc:creator>
  <dc:description/>
  <dc:language>en-US</dc:language>
  <cp:lastModifiedBy/>
  <dcterms:modified xsi:type="dcterms:W3CDTF">2026-09-17T00:16:48Z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